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re Campaigns" sheetId="2" state="visible" r:id="rId4"/>
    <sheet name="Occasional Campaigns" sheetId="3" state="visible" r:id="rId5"/>
    <sheet name="Monthly Hist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Aug 2026 texted 163,552 non-customers + ~56,000 customers. Rounded down to 200k for opt-outs/list decay.</t>
        </r>
      </text>
    </comment>
  </commentList>
</comments>
</file>

<file path=xl/sharedStrings.xml><?xml version="1.0" encoding="utf-8"?>
<sst xmlns="http://schemas.openxmlformats.org/spreadsheetml/2006/main" count="107" uniqueCount="93">
  <si>
    <t xml:space="preserve">SMS Volume Forecast — Twilio Negotiation</t>
  </si>
  <si>
    <t xml:space="preserve">Next 12 months (Nov 2026 - Oct 2027). Messages as counted in Customer.io; Twilio bills per segment.</t>
  </si>
  <si>
    <t xml:space="preserve">Part</t>
  </si>
  <si>
    <t xml:space="preserve">Low</t>
  </si>
  <si>
    <t xml:space="preserve">Expected</t>
  </si>
  <si>
    <t xml:space="preserve">High</t>
  </si>
  <si>
    <t xml:space="preserve">Core automations (always on)</t>
  </si>
  <si>
    <t xml:space="preserve">Occasional campaigns (BFCM, Christmas, etc.)</t>
  </si>
  <si>
    <t xml:space="preserve">Total</t>
  </si>
  <si>
    <t xml:space="preserve">Segments per message (from Twilio billing console)</t>
  </si>
  <si>
    <t xml:space="preserve">Fill in from October Twilio usage (almost all core volume)</t>
  </si>
  <si>
    <t xml:space="preserve">Expected billable segments</t>
  </si>
  <si>
    <t xml:space="preserve">Legend: blue = input from Customer.io or an assumption · yellow = key assumptions you can change · black = formula · green = link to another tab.</t>
  </si>
  <si>
    <t xml:space="preserve">Last 12 months actual: core 424,539 + promo 879,601 = 1,304,140 SMS (see Monthly History).</t>
  </si>
  <si>
    <t xml:space="preserve">Core campaigns: running automations with SMS</t>
  </si>
  <si>
    <t xml:space="preserve">Source: Customer.io campaign metrics (workspace 179743), Twilio SMS 'Sent', US Eastern months, pulled 2026-10-29.</t>
  </si>
  <si>
    <t xml:space="preserve">Campaign</t>
  </si>
  <si>
    <t xml:space="preserve">Customer.io ID</t>
  </si>
  <si>
    <t xml:space="preserve">SMS steps</t>
  </si>
  <si>
    <t xml:space="preserve">Oct 2026 SMS sent (Oct 1-29)</t>
  </si>
  <si>
    <t xml:space="preserve">Typical month (input)</t>
  </si>
  <si>
    <t xml:space="preserve">Annualized (12 x typical)</t>
  </si>
  <si>
    <t xml:space="preserve">Notes</t>
  </si>
  <si>
    <t xml:space="preserve">Abandoned Checkout Campaign v3</t>
  </si>
  <si>
    <t xml:space="preserve">Last 3 full Oct weeks: 18,536 / 17,844 / 17,297</t>
  </si>
  <si>
    <t xml:space="preserve">Onboarding — Dog</t>
  </si>
  <si>
    <t xml:space="preserve">Sept low (539), Oct catch-up</t>
  </si>
  <si>
    <t xml:space="preserve">Failed Charge</t>
  </si>
  <si>
    <t xml:space="preserve">Steady since Mar 2026</t>
  </si>
  <si>
    <t xml:space="preserve">Onboarding — Cat</t>
  </si>
  <si>
    <t xml:space="preserve">Card Validation — Pre-Renewal Series</t>
  </si>
  <si>
    <t xml:space="preserve">Started late Sept, still ramping</t>
  </si>
  <si>
    <t xml:space="preserve">Testimonial Campaign 1 - August 2025</t>
  </si>
  <si>
    <t xml:space="preserve">Abandoned Checkout — All Products (dynamic)</t>
  </si>
  <si>
    <t xml:space="preserve">Test-level; replaces v3 or runs alongside? (open question)</t>
  </si>
  <si>
    <t xml:space="preserve">Core forecast assumptions</t>
  </si>
  <si>
    <t xml:space="preserve">Low case: Abandoned Checkout v3 monthly volume</t>
  </si>
  <si>
    <t xml:space="preserve">High case: growth over expected</t>
  </si>
  <si>
    <t xml:space="preserve">Core scenario (next 12 months)</t>
  </si>
  <si>
    <t xml:space="preserve">Monthly</t>
  </si>
  <si>
    <t xml:space="preserve">Annual</t>
  </si>
  <si>
    <t xml:space="preserve">Assumption</t>
  </si>
  <si>
    <t xml:space="preserve">Abandoned checkout slips to the low-case level; others flat</t>
  </si>
  <si>
    <t xml:space="preserve">Current typical run-rate holds</t>
  </si>
  <si>
    <t xml:space="preserve">Growth from traffic/checkouts</t>
  </si>
  <si>
    <t xml:space="preserve">Other running campaigns (Lost Pet — Lifecycle (combined), Microchip Abandoned Checkout) are email-only and send no SMS.</t>
  </si>
  <si>
    <t xml:space="preserve">Occasional campaigns: past promos and next-year plan</t>
  </si>
  <si>
    <t xml:space="preserve">Past promo campaign(s)</t>
  </si>
  <si>
    <t xml:space="preserve">Month</t>
  </si>
  <si>
    <t xml:space="preserve">SMS sent</t>
  </si>
  <si>
    <t xml:space="preserve">Failed</t>
  </si>
  <si>
    <t xml:space="preserve">Failed %</t>
  </si>
  <si>
    <t xml:space="preserve">Sept 2026 — Non-Customer + Existing Customers (Back to School)</t>
  </si>
  <si>
    <t xml:space="preserve">Sep 2026</t>
  </si>
  <si>
    <t xml:space="preserve">August 2026 — Non-Customer + Existing Customers (Disaster Prep)</t>
  </si>
  <si>
    <t xml:space="preserve">Aug 2026</t>
  </si>
  <si>
    <t xml:space="preserve">July 4 — Non-Customer, Existing Customers, SMS 2 (50/50 split)</t>
  </si>
  <si>
    <t xml:space="preserve">Jun-Jul 2026</t>
  </si>
  <si>
    <t xml:space="preserve">n/a</t>
  </si>
  <si>
    <t xml:space="preserve">January 26 Promo</t>
  </si>
  <si>
    <t xml:space="preserve">Jan 2026</t>
  </si>
  <si>
    <t xml:space="preserve">BFCM 2025 + Dog bed November 2025</t>
  </si>
  <si>
    <t xml:space="preserve">Nov 2025</t>
  </si>
  <si>
    <t xml:space="preserve">SMS per single text to the full list (~220k people reached in Aug 2026)</t>
  </si>
  <si>
    <t xml:space="preserve">Holiday campaign (next 12 months)</t>
  </si>
  <si>
    <t xml:space="preserve">Expected: texts per person</t>
  </si>
  <si>
    <t xml:space="preserve">Low (SMS)</t>
  </si>
  <si>
    <t xml:space="preserve">Expected (SMS)</t>
  </si>
  <si>
    <t xml:space="preserve">High (SMS)</t>
  </si>
  <si>
    <t xml:space="preserve">BFCM</t>
  </si>
  <si>
    <t xml:space="preserve">Nov 2026</t>
  </si>
  <si>
    <t xml:space="preserve">Christmas / holiday</t>
  </si>
  <si>
    <t xml:space="preserve">Dec 2026</t>
  </si>
  <si>
    <t xml:space="preserve">New Year / January promo</t>
  </si>
  <si>
    <t xml:space="preserve">Jan 2027</t>
  </si>
  <si>
    <t xml:space="preserve">July 4</t>
  </si>
  <si>
    <t xml:space="preserve">Jul 2027</t>
  </si>
  <si>
    <t xml:space="preserve">Other seasonal sends (e.g. Back to School)</t>
  </si>
  <si>
    <t xml:space="preserve">TBD</t>
  </si>
  <si>
    <t xml:space="preserve">SMS sent per month, last 12 months</t>
  </si>
  <si>
    <t xml:space="preserve">Source: Customer.io campaign metrics (workspace 179743), Twilio SMS 'Sent', US Eastern months, pulled 2026-10-29. Oct 2026 = Oct 1-29.</t>
  </si>
  <si>
    <t xml:space="preserve">Core automations</t>
  </si>
  <si>
    <t xml:space="preserve">Workspace total (all SMS)</t>
  </si>
  <si>
    <t xml:space="preserve">Occasional / promo (total - core)</t>
  </si>
  <si>
    <t xml:space="preserve">Dec 2025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</si>
  <si>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</si>
  <si>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</si>
  <si>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</si>
  <si>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</si>
  <si>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</si>
  <si>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</si>
  <si>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Oct 2026</t>
  </si>
  <si>
    <t xml:space="preserve">Core = Abandoned checkout v1/v2/v3 + Failed Charge + Onboarding Dog/Cat + Card Validation + Testimonial + All Products (dynamic). Small Oct/Jan residuals in the promo column are late sends from earlier promos.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</si>
</sst>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0"/>
    <numFmt numFmtId="167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4EE"/>
        <bgColor rgb="FFF2F2F2"/>
      </patternFill>
    </fill>
    <fill>
      <patternFill patternType="solid">
        <fgColor rgb="FFF2F2F2"/>
        <bgColor rgb="FFDDE4E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'Core Campaigns'!F19</f>
        <v>706920</v>
      </c>
      <c r="C5" s="5" t="n">
        <f aca="false">'Core Campaigns'!F20</f>
        <v>976920</v>
      </c>
      <c r="D5" s="5" t="n">
        <f aca="false">'Core Campaigns'!F21</f>
        <v>1172304</v>
      </c>
    </row>
    <row r="6" customFormat="false" ht="15" hidden="false" customHeight="false" outlineLevel="0" collapsed="false">
      <c r="A6" s="4" t="s">
        <v>7</v>
      </c>
      <c r="B6" s="5" t="n">
        <f aca="false">'Occasional Campaigns'!D20</f>
        <v>600000</v>
      </c>
      <c r="C6" s="5" t="n">
        <f aca="false">'Occasional Campaigns'!E20</f>
        <v>800000</v>
      </c>
      <c r="D6" s="5" t="n">
        <f aca="false">'Occasional Campaigns'!F20</f>
        <v>2500000</v>
      </c>
    </row>
    <row r="7" customFormat="false" ht="15" hidden="false" customHeight="false" outlineLevel="0" collapsed="false">
      <c r="A7" s="6" t="s">
        <v>8</v>
      </c>
      <c r="B7" s="7" t="n">
        <f aca="false">SUM(B5:B6)</f>
        <v>1306920</v>
      </c>
      <c r="C7" s="7" t="n">
        <f aca="false">SUM(C5:C6)</f>
        <v>1776920</v>
      </c>
      <c r="D7" s="7" t="n">
        <f aca="false">SUM(D5:D6)</f>
        <v>3672304</v>
      </c>
    </row>
    <row r="9" customFormat="false" ht="15" hidden="false" customHeight="false" outlineLevel="0" collapsed="false">
      <c r="A9" s="4" t="s">
        <v>9</v>
      </c>
      <c r="C9" s="8" t="n">
        <v>1</v>
      </c>
      <c r="D9" s="2" t="s">
        <v>10</v>
      </c>
    </row>
    <row r="10" customFormat="false" ht="15" hidden="false" customHeight="false" outlineLevel="0" collapsed="false">
      <c r="A10" s="9" t="s">
        <v>11</v>
      </c>
      <c r="C10" s="10" t="n">
        <f aca="false">C7*C9</f>
        <v>1776920</v>
      </c>
    </row>
    <row r="12" customFormat="false" ht="15" hidden="false" customHeight="false" outlineLevel="0" collapsed="false">
      <c r="A12" s="2" t="s">
        <v>12</v>
      </c>
    </row>
    <row r="13" customFormat="false" ht="15" hidden="false" customHeight="false" outlineLevel="0" collapsed="false">
      <c r="A13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3.85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</row>
    <row r="5" customFormat="false" ht="15" hidden="false" customHeight="false" outlineLevel="0" collapsed="false">
      <c r="A5" s="4" t="s">
        <v>23</v>
      </c>
      <c r="B5" s="4" t="n">
        <v>45</v>
      </c>
      <c r="C5" s="4" t="n">
        <v>12</v>
      </c>
      <c r="D5" s="11" t="n">
        <v>72261</v>
      </c>
      <c r="E5" s="12" t="n">
        <v>77500</v>
      </c>
      <c r="F5" s="13" t="n">
        <f aca="false">E5*12</f>
        <v>930000</v>
      </c>
      <c r="G5" s="4" t="s">
        <v>24</v>
      </c>
    </row>
    <row r="6" customFormat="false" ht="15" hidden="false" customHeight="false" outlineLevel="0" collapsed="false">
      <c r="A6" s="4" t="s">
        <v>25</v>
      </c>
      <c r="B6" s="4" t="n">
        <v>29</v>
      </c>
      <c r="C6" s="4" t="n">
        <v>2</v>
      </c>
      <c r="D6" s="11" t="n">
        <v>2166</v>
      </c>
      <c r="E6" s="12" t="n">
        <v>2000</v>
      </c>
      <c r="F6" s="13" t="n">
        <f aca="false">E6*12</f>
        <v>24000</v>
      </c>
      <c r="G6" s="4" t="s">
        <v>26</v>
      </c>
    </row>
    <row r="7" customFormat="false" ht="15" hidden="false" customHeight="false" outlineLevel="0" collapsed="false">
      <c r="A7" s="4" t="s">
        <v>27</v>
      </c>
      <c r="B7" s="4" t="n">
        <v>18</v>
      </c>
      <c r="C7" s="4" t="n">
        <v>2</v>
      </c>
      <c r="D7" s="11" t="n">
        <v>1024</v>
      </c>
      <c r="E7" s="12" t="n">
        <v>1000</v>
      </c>
      <c r="F7" s="13" t="n">
        <f aca="false">E7*12</f>
        <v>12000</v>
      </c>
      <c r="G7" s="4" t="s">
        <v>28</v>
      </c>
    </row>
    <row r="8" customFormat="false" ht="15" hidden="false" customHeight="false" outlineLevel="0" collapsed="false">
      <c r="A8" s="4" t="s">
        <v>29</v>
      </c>
      <c r="B8" s="4" t="n">
        <v>33</v>
      </c>
      <c r="C8" s="4" t="n">
        <v>2</v>
      </c>
      <c r="D8" s="11" t="n">
        <v>889</v>
      </c>
      <c r="E8" s="12" t="n">
        <v>600</v>
      </c>
      <c r="F8" s="13" t="n">
        <f aca="false">E8*12</f>
        <v>7200</v>
      </c>
      <c r="G8" s="4"/>
    </row>
    <row r="9" customFormat="false" ht="15" hidden="false" customHeight="false" outlineLevel="0" collapsed="false">
      <c r="A9" s="4" t="s">
        <v>30</v>
      </c>
      <c r="B9" s="4" t="n">
        <v>32</v>
      </c>
      <c r="C9" s="4" t="n">
        <v>3</v>
      </c>
      <c r="D9" s="11" t="n">
        <v>202</v>
      </c>
      <c r="E9" s="12" t="n">
        <v>270</v>
      </c>
      <c r="F9" s="13" t="n">
        <f aca="false">E9*12</f>
        <v>3240</v>
      </c>
      <c r="G9" s="4" t="s">
        <v>31</v>
      </c>
    </row>
    <row r="10" customFormat="false" ht="15" hidden="false" customHeight="false" outlineLevel="0" collapsed="false">
      <c r="A10" s="4" t="s">
        <v>32</v>
      </c>
      <c r="B10" s="4" t="n">
        <v>9</v>
      </c>
      <c r="C10" s="4" t="n">
        <v>6</v>
      </c>
      <c r="D10" s="11" t="n">
        <v>47</v>
      </c>
      <c r="E10" s="12" t="n">
        <v>40</v>
      </c>
      <c r="F10" s="13" t="n">
        <f aca="false">E10*12</f>
        <v>480</v>
      </c>
      <c r="G10" s="4"/>
    </row>
    <row r="11" customFormat="false" ht="15" hidden="false" customHeight="false" outlineLevel="0" collapsed="false">
      <c r="A11" s="4" t="s">
        <v>33</v>
      </c>
      <c r="B11" s="4" t="n">
        <v>50</v>
      </c>
      <c r="C11" s="4" t="n">
        <v>3</v>
      </c>
      <c r="D11" s="11" t="n">
        <v>4</v>
      </c>
      <c r="E11" s="12" t="n">
        <v>0</v>
      </c>
      <c r="F11" s="13" t="n">
        <f aca="false">E11*12</f>
        <v>0</v>
      </c>
      <c r="G11" s="4" t="s">
        <v>34</v>
      </c>
    </row>
    <row r="12" customFormat="false" ht="15" hidden="false" customHeight="false" outlineLevel="0" collapsed="false">
      <c r="A12" s="6" t="s">
        <v>8</v>
      </c>
      <c r="B12" s="14"/>
      <c r="C12" s="14"/>
      <c r="D12" s="7" t="n">
        <f aca="false">SUM(D5:D11)</f>
        <v>76593</v>
      </c>
      <c r="E12" s="7" t="n">
        <f aca="false">SUM(E5:E11)</f>
        <v>81410</v>
      </c>
      <c r="F12" s="7" t="n">
        <f aca="false">SUM(F5:F11)</f>
        <v>976920</v>
      </c>
      <c r="G12" s="14"/>
    </row>
    <row r="14" customFormat="false" ht="15" hidden="false" customHeight="false" outlineLevel="0" collapsed="false">
      <c r="A14" s="9" t="s">
        <v>35</v>
      </c>
    </row>
    <row r="15" customFormat="false" ht="15" hidden="false" customHeight="false" outlineLevel="0" collapsed="false">
      <c r="A15" s="4" t="s">
        <v>36</v>
      </c>
      <c r="E15" s="12" t="n">
        <v>55000</v>
      </c>
    </row>
    <row r="16" customFormat="false" ht="15" hidden="false" customHeight="false" outlineLevel="0" collapsed="false">
      <c r="A16" s="4" t="s">
        <v>37</v>
      </c>
      <c r="E16" s="15" t="n">
        <v>0.2</v>
      </c>
    </row>
    <row r="18" customFormat="false" ht="15" hidden="false" customHeight="false" outlineLevel="0" collapsed="false">
      <c r="A18" s="3" t="s">
        <v>38</v>
      </c>
      <c r="B18" s="3"/>
      <c r="C18" s="3"/>
      <c r="D18" s="3"/>
      <c r="E18" s="3" t="s">
        <v>39</v>
      </c>
      <c r="F18" s="3" t="s">
        <v>40</v>
      </c>
      <c r="G18" s="3" t="s">
        <v>41</v>
      </c>
    </row>
    <row r="19" customFormat="false" ht="15" hidden="false" customHeight="false" outlineLevel="0" collapsed="false">
      <c r="A19" s="4" t="s">
        <v>3</v>
      </c>
      <c r="E19" s="13" t="n">
        <f aca="false">E15+E12-E5</f>
        <v>58910</v>
      </c>
      <c r="F19" s="13" t="n">
        <f aca="false">E19*12</f>
        <v>706920</v>
      </c>
      <c r="G19" s="4" t="s">
        <v>42</v>
      </c>
    </row>
    <row r="20" customFormat="false" ht="15" hidden="false" customHeight="false" outlineLevel="0" collapsed="false">
      <c r="A20" s="4" t="s">
        <v>4</v>
      </c>
      <c r="E20" s="13" t="n">
        <f aca="false">E12</f>
        <v>81410</v>
      </c>
      <c r="F20" s="13" t="n">
        <f aca="false">E20*12</f>
        <v>976920</v>
      </c>
      <c r="G20" s="4" t="s">
        <v>43</v>
      </c>
    </row>
    <row r="21" customFormat="false" ht="15" hidden="false" customHeight="false" outlineLevel="0" collapsed="false">
      <c r="A21" s="4" t="s">
        <v>5</v>
      </c>
      <c r="E21" s="13" t="n">
        <f aca="false">E20*(1+E16)</f>
        <v>97692</v>
      </c>
      <c r="F21" s="13" t="n">
        <f aca="false">E21*12</f>
        <v>1172304</v>
      </c>
      <c r="G21" s="4" t="s">
        <v>44</v>
      </c>
    </row>
    <row r="23" customFormat="false" ht="15" hidden="false" customHeight="false" outlineLevel="0" collapsed="false">
      <c r="A23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customFormat="false" ht="15" hidden="false" customHeight="false" outlineLevel="0" collapsed="false">
      <c r="A5" s="4" t="s">
        <v>52</v>
      </c>
      <c r="B5" s="4" t="s">
        <v>53</v>
      </c>
      <c r="C5" s="11" t="n">
        <v>223598</v>
      </c>
      <c r="D5" s="11" t="n">
        <v>86431</v>
      </c>
      <c r="E5" s="16" t="n">
        <f aca="false">IFERROR(D5/C5,0)</f>
        <v>0.386546391291514</v>
      </c>
    </row>
    <row r="6" customFormat="false" ht="15" hidden="false" customHeight="false" outlineLevel="0" collapsed="false">
      <c r="A6" s="4" t="s">
        <v>54</v>
      </c>
      <c r="B6" s="4" t="s">
        <v>55</v>
      </c>
      <c r="C6" s="11" t="n">
        <v>516560</v>
      </c>
      <c r="D6" s="11" t="n">
        <v>54207</v>
      </c>
      <c r="E6" s="16" t="n">
        <f aca="false">IFERROR(D6/C6,0)</f>
        <v>0.104938438903516</v>
      </c>
    </row>
    <row r="7" customFormat="false" ht="15" hidden="false" customHeight="false" outlineLevel="0" collapsed="false">
      <c r="A7" s="4" t="s">
        <v>56</v>
      </c>
      <c r="B7" s="4" t="s">
        <v>57</v>
      </c>
      <c r="C7" s="11" t="n">
        <v>59883</v>
      </c>
      <c r="D7" s="4" t="s">
        <v>58</v>
      </c>
    </row>
    <row r="8" customFormat="false" ht="15" hidden="false" customHeight="false" outlineLevel="0" collapsed="false">
      <c r="A8" s="4" t="s">
        <v>59</v>
      </c>
      <c r="B8" s="4" t="s">
        <v>60</v>
      </c>
      <c r="C8" s="11" t="n">
        <v>1035</v>
      </c>
      <c r="D8" s="11" t="n">
        <v>2</v>
      </c>
      <c r="E8" s="16" t="n">
        <f aca="false">IFERROR(D8/C8,0)</f>
        <v>0.00193236714975845</v>
      </c>
    </row>
    <row r="9" customFormat="false" ht="15" hidden="false" customHeight="false" outlineLevel="0" collapsed="false">
      <c r="A9" s="4" t="s">
        <v>61</v>
      </c>
      <c r="B9" s="4" t="s">
        <v>62</v>
      </c>
      <c r="C9" s="11" t="n">
        <v>78510</v>
      </c>
      <c r="D9" s="11" t="n">
        <v>1749</v>
      </c>
      <c r="E9" s="16" t="n">
        <f aca="false">IFERROR(D9/C9,0)</f>
        <v>0.0222774168895682</v>
      </c>
    </row>
    <row r="10" customFormat="false" ht="15" hidden="false" customHeight="false" outlineLevel="0" collapsed="false">
      <c r="A10" s="6" t="s">
        <v>8</v>
      </c>
      <c r="B10" s="14"/>
      <c r="C10" s="7" t="n">
        <f aca="false">SUM(C5:C9)</f>
        <v>879586</v>
      </c>
      <c r="D10" s="7" t="n">
        <f aca="false">SUM(D5:D9)</f>
        <v>142389</v>
      </c>
      <c r="E10" s="14"/>
    </row>
    <row r="12" customFormat="false" ht="15" hidden="false" customHeight="false" outlineLevel="0" collapsed="false">
      <c r="A12" s="4" t="s">
        <v>63</v>
      </c>
      <c r="C12" s="12" t="n">
        <v>200000</v>
      </c>
    </row>
    <row r="14" customFormat="false" ht="23.85" hidden="false" customHeight="false" outlineLevel="0" collapsed="false">
      <c r="A14" s="3" t="s">
        <v>64</v>
      </c>
      <c r="B14" s="3" t="s">
        <v>48</v>
      </c>
      <c r="C14" s="3" t="s">
        <v>65</v>
      </c>
      <c r="D14" s="3" t="s">
        <v>66</v>
      </c>
      <c r="E14" s="3" t="s">
        <v>67</v>
      </c>
      <c r="F14" s="3" t="s">
        <v>68</v>
      </c>
    </row>
    <row r="15" customFormat="false" ht="15" hidden="false" customHeight="false" outlineLevel="0" collapsed="false">
      <c r="A15" s="4" t="s">
        <v>69</v>
      </c>
      <c r="B15" s="4" t="s">
        <v>70</v>
      </c>
      <c r="C15" s="17" t="n">
        <v>1</v>
      </c>
      <c r="D15" s="11" t="n">
        <v>200000</v>
      </c>
      <c r="E15" s="13" t="n">
        <f aca="false">C15*$C$12</f>
        <v>200000</v>
      </c>
      <c r="F15" s="11" t="n">
        <v>500000</v>
      </c>
    </row>
    <row r="16" customFormat="false" ht="15" hidden="false" customHeight="false" outlineLevel="0" collapsed="false">
      <c r="A16" s="4" t="s">
        <v>71</v>
      </c>
      <c r="B16" s="4" t="s">
        <v>72</v>
      </c>
      <c r="C16" s="17" t="n">
        <v>1</v>
      </c>
      <c r="D16" s="11" t="n">
        <v>200000</v>
      </c>
      <c r="E16" s="13" t="n">
        <f aca="false">C16*$C$12</f>
        <v>200000</v>
      </c>
      <c r="F16" s="11" t="n">
        <v>500000</v>
      </c>
    </row>
    <row r="17" customFormat="false" ht="15" hidden="false" customHeight="false" outlineLevel="0" collapsed="false">
      <c r="A17" s="4" t="s">
        <v>73</v>
      </c>
      <c r="B17" s="4" t="s">
        <v>74</v>
      </c>
      <c r="C17" s="17" t="n">
        <v>1</v>
      </c>
      <c r="D17" s="11" t="n">
        <v>100000</v>
      </c>
      <c r="E17" s="13" t="n">
        <f aca="false">C17*$C$12</f>
        <v>200000</v>
      </c>
      <c r="F17" s="11" t="n">
        <v>400000</v>
      </c>
    </row>
    <row r="18" customFormat="false" ht="15" hidden="false" customHeight="false" outlineLevel="0" collapsed="false">
      <c r="A18" s="4" t="s">
        <v>75</v>
      </c>
      <c r="B18" s="4" t="s">
        <v>76</v>
      </c>
      <c r="C18" s="17" t="n">
        <v>1</v>
      </c>
      <c r="D18" s="11" t="n">
        <v>100000</v>
      </c>
      <c r="E18" s="13" t="n">
        <f aca="false">C18*$C$12</f>
        <v>200000</v>
      </c>
      <c r="F18" s="11" t="n">
        <v>400000</v>
      </c>
    </row>
    <row r="19" customFormat="false" ht="15" hidden="false" customHeight="false" outlineLevel="0" collapsed="false">
      <c r="A19" s="4" t="s">
        <v>77</v>
      </c>
      <c r="B19" s="4" t="s">
        <v>78</v>
      </c>
      <c r="C19" s="17" t="n">
        <v>0</v>
      </c>
      <c r="D19" s="11" t="n">
        <v>0</v>
      </c>
      <c r="E19" s="13" t="n">
        <f aca="false">C19*$C$12</f>
        <v>0</v>
      </c>
      <c r="F19" s="11" t="n">
        <v>700000</v>
      </c>
    </row>
    <row r="20" customFormat="false" ht="15" hidden="false" customHeight="false" outlineLevel="0" collapsed="false">
      <c r="A20" s="6" t="s">
        <v>8</v>
      </c>
      <c r="B20" s="14"/>
      <c r="C20" s="14"/>
      <c r="D20" s="7" t="n">
        <f aca="false">SUM(D15:D19)</f>
        <v>600000</v>
      </c>
      <c r="E20" s="7" t="n">
        <f aca="false">SUM(E15:E19)</f>
        <v>800000</v>
      </c>
      <c r="F20" s="7" t="n">
        <f aca="false">SUM(F15:F19)</f>
        <v>2500000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3" t="s">
        <v>48</v>
      </c>
      <c r="B4" s="3" t="s">
        <v>81</v>
      </c>
      <c r="C4" s="3" t="s">
        <v>82</v>
      </c>
      <c r="D4" s="3" t="s">
        <v>83</v>
      </c>
    </row>
    <row r="5" customFormat="false" ht="15" hidden="false" customHeight="false" outlineLevel="0" collapsed="false">
      <c r="A5" s="4" t="s">
        <v>62</v>
      </c>
      <c r="B5" s="11" t="n">
        <v>14380</v>
      </c>
      <c r="C5" s="11" t="n">
        <v>92898</v>
      </c>
      <c r="D5" s="13" t="n">
        <f aca="false">C5-B5</f>
        <v>78518</v>
      </c>
    </row>
    <row r="6" customFormat="false" ht="15" hidden="false" customHeight="false" outlineLevel="0" collapsed="false">
      <c r="A6" s="4" t="s">
        <v>84</v>
      </c>
      <c r="B6" s="11" t="n">
        <v>12516</v>
      </c>
      <c r="C6" s="11" t="n">
        <v>12527</v>
      </c>
      <c r="D6" s="13" t="n">
        <f aca="false">C6-B6</f>
        <v>11</v>
      </c>
    </row>
    <row r="7" customFormat="false" ht="15" hidden="false" customHeight="false" outlineLevel="0" collapsed="false">
      <c r="A7" s="4" t="s">
        <v>60</v>
      </c>
      <c r="B7" s="11" t="n">
        <v>18022</v>
      </c>
      <c r="C7" s="11" t="n">
        <v>18769</v>
      </c>
      <c r="D7" s="13" t="n">
        <f aca="false">C7-B7</f>
        <v>747</v>
      </c>
    </row>
    <row r="8" customFormat="false" ht="15" hidden="false" customHeight="false" outlineLevel="0" collapsed="false">
      <c r="A8" s="4" t="s">
        <v>85</v>
      </c>
      <c r="B8" s="11" t="n">
        <v>16847</v>
      </c>
      <c r="C8" s="11" t="n">
        <v>17135</v>
      </c>
      <c r="D8" s="13" t="n">
        <f aca="false">C8-B8</f>
        <v>288</v>
      </c>
    </row>
    <row r="9" customFormat="false" ht="15" hidden="false" customHeight="false" outlineLevel="0" collapsed="false">
      <c r="A9" s="4" t="s">
        <v>86</v>
      </c>
      <c r="B9" s="11" t="n">
        <v>28365</v>
      </c>
      <c r="C9" s="11" t="n">
        <v>28365</v>
      </c>
      <c r="D9" s="13" t="n">
        <f aca="false">C9-B9</f>
        <v>0</v>
      </c>
    </row>
    <row r="10" customFormat="false" ht="15" hidden="false" customHeight="false" outlineLevel="0" collapsed="false">
      <c r="A10" s="4" t="s">
        <v>87</v>
      </c>
      <c r="B10" s="11" t="n">
        <v>24798</v>
      </c>
      <c r="C10" s="11" t="n">
        <v>24798</v>
      </c>
      <c r="D10" s="13" t="n">
        <f aca="false">C10-B10</f>
        <v>0</v>
      </c>
    </row>
    <row r="11" customFormat="false" ht="15" hidden="false" customHeight="false" outlineLevel="0" collapsed="false">
      <c r="A11" s="4" t="s">
        <v>88</v>
      </c>
      <c r="B11" s="11" t="n">
        <v>27822</v>
      </c>
      <c r="C11" s="11" t="n">
        <v>27822</v>
      </c>
      <c r="D11" s="13" t="n">
        <f aca="false">C11-B11</f>
        <v>0</v>
      </c>
    </row>
    <row r="12" customFormat="false" ht="15" hidden="false" customHeight="false" outlineLevel="0" collapsed="false">
      <c r="A12" s="4" t="s">
        <v>89</v>
      </c>
      <c r="B12" s="11" t="n">
        <v>31235</v>
      </c>
      <c r="C12" s="11" t="n">
        <v>51893</v>
      </c>
      <c r="D12" s="13" t="n">
        <f aca="false">C12-B12</f>
        <v>20658</v>
      </c>
    </row>
    <row r="13" customFormat="false" ht="15" hidden="false" customHeight="false" outlineLevel="0" collapsed="false">
      <c r="A13" s="4" t="s">
        <v>90</v>
      </c>
      <c r="B13" s="11" t="n">
        <v>49235</v>
      </c>
      <c r="C13" s="11" t="n">
        <v>88460</v>
      </c>
      <c r="D13" s="13" t="n">
        <f aca="false">C13-B13</f>
        <v>39225</v>
      </c>
    </row>
    <row r="14" customFormat="false" ht="15" hidden="false" customHeight="false" outlineLevel="0" collapsed="false">
      <c r="A14" s="4" t="s">
        <v>55</v>
      </c>
      <c r="B14" s="11" t="n">
        <v>56304</v>
      </c>
      <c r="C14" s="11" t="n">
        <v>572529</v>
      </c>
      <c r="D14" s="13" t="n">
        <f aca="false">C14-B14</f>
        <v>516225</v>
      </c>
    </row>
    <row r="15" customFormat="false" ht="15" hidden="false" customHeight="false" outlineLevel="0" collapsed="false">
      <c r="A15" s="4" t="s">
        <v>53</v>
      </c>
      <c r="B15" s="11" t="n">
        <v>68422</v>
      </c>
      <c r="C15" s="11" t="n">
        <v>292060</v>
      </c>
      <c r="D15" s="13" t="n">
        <f aca="false">C15-B15</f>
        <v>223638</v>
      </c>
    </row>
    <row r="16" customFormat="false" ht="15" hidden="false" customHeight="false" outlineLevel="0" collapsed="false">
      <c r="A16" s="4" t="s">
        <v>91</v>
      </c>
      <c r="B16" s="11" t="n">
        <v>76593</v>
      </c>
      <c r="C16" s="11" t="n">
        <v>76884</v>
      </c>
      <c r="D16" s="13" t="n">
        <f aca="false">C16-B16</f>
        <v>291</v>
      </c>
    </row>
    <row r="17" customFormat="false" ht="15" hidden="false" customHeight="false" outlineLevel="0" collapsed="false">
      <c r="A17" s="6" t="s">
        <v>8</v>
      </c>
      <c r="B17" s="7" t="n">
        <f aca="false">SUM(B5:B16)</f>
        <v>424539</v>
      </c>
      <c r="C17" s="7" t="n">
        <f aca="false">SUM(C5:C16)</f>
        <v>1304140</v>
      </c>
      <c r="D17" s="7" t="n">
        <f aca="false">SUM(D5:D16)</f>
        <v>879601</v>
      </c>
    </row>
    <row r="19" customFormat="false" ht="15" hidden="false" customHeight="false" outlineLevel="0" collapsed="false">
      <c r="A19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2026-10-29T13:38:12Z</dcterms:created>
  <dc:creator>openpyxl</dc:creator>
  <dc:description/>
  <dc:language>en-US</dc:language>
  <cp:lastModifiedBy/>
  <dcterms:modified xsi:type="dcterms:W3CDTF">2026-10-29T13:38:12Z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